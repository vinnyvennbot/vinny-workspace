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stern Dancing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color rgb="00FFFFFF"/>
    </font>
    <font>
      <b val="1"/>
      <color rgb="000000FF"/>
    </font>
    <font>
      <b val="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70AD47"/>
        <bgColor rgb="0070AD47"/>
      </patternFill>
    </fill>
    <fill>
      <patternFill patternType="solid">
        <fgColor rgb="00C65911"/>
        <bgColor rgb="00C65911"/>
      </patternFill>
    </fill>
    <fill>
      <patternFill patternType="solid">
        <fgColor rgb="00D9E1F2"/>
        <bgColor rgb="00D9E1F2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165" fontId="0" fillId="0" borderId="0" pivotButton="0" quotePrefix="0" xfId="0"/>
    <xf numFmtId="0" fontId="3" fillId="4" borderId="0" applyAlignment="1" pivotButton="0" quotePrefix="0" xfId="0">
      <alignment horizontal="center"/>
    </xf>
    <xf numFmtId="165" fontId="5" fillId="0" borderId="1" pivotButton="0" quotePrefix="0" xfId="0"/>
    <xf numFmtId="0" fontId="3" fillId="5" borderId="0" applyAlignment="1" pivotButton="0" quotePrefix="0" xfId="0">
      <alignment horizontal="center"/>
    </xf>
    <xf numFmtId="0" fontId="5" fillId="6" borderId="0" pivotButton="0" quotePrefix="0" xfId="0"/>
    <xf numFmtId="164" fontId="0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3" fillId="7" borderId="0" applyAlignment="1" pivotButton="0" quotePrefix="0" xfId="0">
      <alignment horizontal="center"/>
    </xf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VENN SOCIAL - WESTERN LINE DANCING FINANCIAL MODEL</t>
        </is>
      </c>
    </row>
    <row r="2"/>
    <row r="3">
      <c r="A3" s="2" t="inlineStr">
        <is>
          <t>Event: Wild West Nights | Venue: The Chapel | Target Capacity: 100 people</t>
        </is>
      </c>
    </row>
    <row r="5">
      <c r="A5" s="3" t="inlineStr">
        <is>
          <t>KEY INPUT ASSUMPTIONS</t>
        </is>
      </c>
    </row>
    <row r="6">
      <c r="A6" t="inlineStr">
        <is>
          <t>Event Capacity</t>
        </is>
      </c>
      <c r="B6" s="4" t="n">
        <v>100</v>
      </c>
      <c r="C6" t="inlineStr">
        <is>
          <t>people</t>
        </is>
      </c>
    </row>
    <row r="7">
      <c r="A7" t="inlineStr">
        <is>
          <t>Ticket Price</t>
        </is>
      </c>
      <c r="B7" s="4" t="n">
        <v>65</v>
      </c>
      <c r="C7" t="inlineStr">
        <is>
          <t>$ per ticket</t>
        </is>
      </c>
    </row>
    <row r="8">
      <c r="A8" t="inlineStr">
        <is>
          <t>Volo Sponsorship</t>
        </is>
      </c>
      <c r="B8" s="4" t="n">
        <v>1500</v>
      </c>
      <c r="C8" t="inlineStr">
        <is>
          <t>$</t>
        </is>
      </c>
    </row>
    <row r="9">
      <c r="A9" t="inlineStr">
        <is>
          <t>Whiskey Brand Sponsor</t>
        </is>
      </c>
      <c r="B9" s="4" t="n">
        <v>1000</v>
      </c>
      <c r="C9" t="inlineStr">
        <is>
          <t>$</t>
        </is>
      </c>
    </row>
    <row r="10">
      <c r="A10" t="inlineStr">
        <is>
          <t>Total Sponsorships</t>
        </is>
      </c>
      <c r="B10" s="5">
        <f>B8+B9</f>
        <v/>
      </c>
      <c r="C10" t="inlineStr">
        <is>
          <t>$</t>
        </is>
      </c>
    </row>
    <row r="12">
      <c r="A12" s="6" t="inlineStr">
        <is>
          <t>REVENUE ANALYSIS</t>
        </is>
      </c>
    </row>
    <row r="13">
      <c r="A13" t="inlineStr">
        <is>
          <t>Gross Ticket Sales</t>
        </is>
      </c>
      <c r="B13" s="5">
        <f>B6*B7</f>
        <v/>
      </c>
      <c r="C13" t="inlineStr">
        <is>
          <t>$</t>
        </is>
      </c>
    </row>
    <row r="14">
      <c r="A14" t="inlineStr">
        <is>
          <t>Sponsorship Revenue</t>
        </is>
      </c>
      <c r="B14" s="5">
        <f>B10</f>
        <v/>
      </c>
      <c r="C14" t="inlineStr">
        <is>
          <t>$</t>
        </is>
      </c>
    </row>
    <row r="15">
      <c r="A15" t="inlineStr">
        <is>
          <t>TOTAL REVENUE</t>
        </is>
      </c>
      <c r="B15" s="7">
        <f>B13+B14</f>
        <v/>
      </c>
      <c r="C15" t="inlineStr">
        <is>
          <t>$</t>
        </is>
      </c>
    </row>
    <row r="17">
      <c r="A17" s="8" t="inlineStr">
        <is>
          <t>COST STRUCTURE ANALYSIS</t>
        </is>
      </c>
    </row>
    <row r="18">
      <c r="A18" s="9" t="inlineStr">
        <is>
          <t>Cost Category</t>
        </is>
      </c>
      <c r="B18" s="9" t="inlineStr">
        <is>
          <t>Per Person</t>
        </is>
      </c>
      <c r="C18" s="9" t="inlineStr">
        <is>
          <t>Total Cost</t>
        </is>
      </c>
      <c r="D18" s="9" t="inlineStr">
        <is>
          <t>% of Revenue</t>
        </is>
      </c>
    </row>
    <row r="19">
      <c r="A19" t="inlineStr">
        <is>
          <t>Venue - The Chapel</t>
        </is>
      </c>
      <c r="B19" s="4" t="n">
        <v>25</v>
      </c>
      <c r="C19" s="5">
        <f>B19*$B$6</f>
        <v/>
      </c>
      <c r="D19" s="10">
        <f>C19/$B$15</f>
        <v/>
      </c>
    </row>
    <row r="20">
      <c r="A20" t="inlineStr">
        <is>
          <t>Live Country Band</t>
        </is>
      </c>
      <c r="B20" s="4" t="n">
        <v>15</v>
      </c>
      <c r="C20" s="5">
        <f>B20*$B$6</f>
        <v/>
      </c>
      <c r="D20" s="10">
        <f>C20/$B$15</f>
        <v/>
      </c>
    </row>
    <row r="21">
      <c r="A21" t="inlineStr">
        <is>
          <t>Line Dancing Instructor</t>
        </is>
      </c>
      <c r="B21" s="4" t="n">
        <v>4</v>
      </c>
      <c r="C21" s="5">
        <f>B21*$B$6</f>
        <v/>
      </c>
      <c r="D21" s="10">
        <f>C21/$B$15</f>
        <v/>
      </c>
    </row>
    <row r="22">
      <c r="A22" t="inlineStr">
        <is>
          <t>BBQ Catering</t>
        </is>
      </c>
      <c r="B22" s="4" t="n">
        <v>22</v>
      </c>
      <c r="C22" s="5">
        <f>B22*$B$6</f>
        <v/>
      </c>
      <c r="D22" s="10">
        <f>C22/$B$15</f>
        <v/>
      </c>
    </row>
    <row r="23">
      <c r="A23" t="inlineStr">
        <is>
          <t>Photography/Marketing</t>
        </is>
      </c>
      <c r="B23" s="4" t="n">
        <v>9</v>
      </c>
      <c r="C23" s="5">
        <f>B23*$B$6</f>
        <v/>
      </c>
      <c r="D23" s="10">
        <f>C23/$B$15</f>
        <v/>
      </c>
    </row>
    <row r="24">
      <c r="A24" s="11" t="inlineStr">
        <is>
          <t>TOTAL OPERATING COSTS</t>
        </is>
      </c>
      <c r="B24" s="11">
        <f>SUM(B19:B23)</f>
        <v/>
      </c>
      <c r="C24" s="7">
        <f>SUM(C19:C23)</f>
        <v/>
      </c>
      <c r="D24" s="12">
        <f>C24/$B$15</f>
        <v/>
      </c>
    </row>
    <row r="26">
      <c r="A26" s="13" t="inlineStr">
        <is>
          <t>PROFITABILITY &amp; RISK ANALYSIS</t>
        </is>
      </c>
    </row>
    <row r="27">
      <c r="A27" t="inlineStr">
        <is>
          <t>Gross Profit</t>
        </is>
      </c>
      <c r="B27" s="14">
        <f>B15-C24</f>
        <v/>
      </c>
      <c r="C27" t="inlineStr">
        <is>
          <t>$</t>
        </is>
      </c>
    </row>
    <row r="28">
      <c r="A28" t="inlineStr">
        <is>
          <t>Profit Margin</t>
        </is>
      </c>
      <c r="B28" s="10">
        <f>B27/B15</f>
        <v/>
      </c>
      <c r="C28" t="inlineStr">
        <is>
          <t>%</t>
        </is>
      </c>
    </row>
    <row r="29">
      <c r="A29" t="inlineStr">
        <is>
          <t>Profit Per Person</t>
        </is>
      </c>
      <c r="B29">
        <f>B27/B6</f>
        <v/>
      </c>
      <c r="C29" t="inlineStr">
        <is>
          <t>$ per person</t>
        </is>
      </c>
    </row>
    <row r="30">
      <c r="A30" t="inlineStr">
        <is>
          <t>Break-Even Attendance</t>
        </is>
      </c>
      <c r="B30">
        <f>C24/B7</f>
        <v/>
      </c>
      <c r="C30" t="inlineStr">
        <is>
          <t>people</t>
        </is>
      </c>
    </row>
    <row r="31">
      <c r="A31" t="inlineStr">
        <is>
          <t>Cost Per Person</t>
        </is>
      </c>
      <c r="B31">
        <f>C24/B6</f>
        <v/>
      </c>
      <c r="C31" t="inlineStr">
        <is>
          <t>$ per person</t>
        </is>
      </c>
    </row>
    <row r="32">
      <c r="A32" t="inlineStr">
        <is>
          <t>Budget Status ($70 limit)</t>
        </is>
      </c>
      <c r="B32" s="11">
        <f>IF(B31&lt;=70,"✓ COMPLIANT","⚠️ OVER BUDGET")</f>
        <v/>
      </c>
    </row>
  </sheetData>
  <mergeCells count="6">
    <mergeCell ref="A3:H3"/>
    <mergeCell ref="A5:C5"/>
    <mergeCell ref="A12:D12"/>
    <mergeCell ref="A26:D26"/>
    <mergeCell ref="A1:H2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2026-02-03T08:02:56Z</dcterms:created>
  <dcterms:modified xsi:type="dcterms:W3CDTF">2026-02-03T08:02:56Z</dcterms:modified>
</cp:coreProperties>
</file>