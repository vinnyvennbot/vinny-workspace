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imate Dinne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0000"/>
      <sz val="11"/>
    </font>
    <font>
      <b val="1"/>
      <color rgb="00FFFFFF"/>
    </font>
    <font>
      <b val="1"/>
      <color rgb="000000FF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164" fontId="0" fillId="0" borderId="0" pivotButton="0" quotePrefix="0" xfId="0"/>
    <xf numFmtId="0" fontId="4" fillId="4" borderId="0" applyAlignment="1" pivotButton="0" quotePrefix="0" xfId="0">
      <alignment horizontal="center"/>
    </xf>
    <xf numFmtId="164" fontId="6" fillId="0" borderId="1" pivotButton="0" quotePrefix="0" xfId="0"/>
    <xf numFmtId="0" fontId="4" fillId="5" borderId="0" applyAlignment="1" pivotButton="0" quotePrefix="0" xfId="0">
      <alignment horizontal="center"/>
    </xf>
    <xf numFmtId="0" fontId="6" fillId="6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4" fillId="7" borderId="0" applyAlignment="1" pivotButton="0" quotePrefix="0" xfId="0">
      <alignment horizontal="center"/>
    </xf>
    <xf numFmtId="0" fontId="2" fillId="0" borderId="0" pivotButton="0" quotePrefix="0" xfId="0"/>
    <xf numFmtId="0" fontId="4" fillId="8" borderId="0" applyAlignment="1" pivotButton="0" quotePrefix="0" xfId="0">
      <alignment horizontal="center"/>
    </xf>
    <xf numFmtId="164" fontId="2" fillId="0" borderId="1" pivotButton="0" quotePrefix="0" xfId="0"/>
    <xf numFmtId="164" fontId="0" fillId="0" borderId="0" pivotButton="0" quotePrefix="0" xfId="0"/>
    <xf numFmtId="164" fontId="6" fillId="0" borderId="1" pivotButton="0" quotePrefix="0" xfId="0"/>
    <xf numFmtId="165" fontId="0" fillId="0" borderId="0" pivotButton="0" quotePrefix="0" xfId="0"/>
    <xf numFmtId="165" fontId="6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VENN SOCIAL - INTIMATE DINNER FINANCIAL MODEL</t>
        </is>
      </c>
    </row>
    <row r="2"/>
    <row r="3">
      <c r="A3" s="2" t="inlineStr">
        <is>
          <t>Event: The Gathering | Historic Private Venue | Capacity: 30 people</t>
        </is>
      </c>
    </row>
    <row r="4">
      <c r="A4" s="3" t="inlineStr">
        <is>
          <t>⚠️ CONSTRAINT: Must stay under $70 per person total cost</t>
        </is>
      </c>
    </row>
    <row r="6">
      <c r="A6" s="4" t="inlineStr">
        <is>
          <t>KEY INPUT ASSUMPTIONS</t>
        </is>
      </c>
    </row>
    <row r="7">
      <c r="A7" t="inlineStr">
        <is>
          <t>Event Capacity</t>
        </is>
      </c>
      <c r="B7" s="5" t="n">
        <v>30</v>
      </c>
      <c r="C7" t="inlineStr">
        <is>
          <t>people</t>
        </is>
      </c>
    </row>
    <row r="8">
      <c r="A8" t="inlineStr">
        <is>
          <t>Ticket Price</t>
        </is>
      </c>
      <c r="B8" s="5" t="n">
        <v>58</v>
      </c>
      <c r="C8" t="inlineStr">
        <is>
          <t>$ per ticket</t>
        </is>
      </c>
    </row>
    <row r="9">
      <c r="A9" t="inlineStr">
        <is>
          <t>Cost Per Person Limit</t>
        </is>
      </c>
      <c r="B9" s="5" t="n">
        <v>70</v>
      </c>
      <c r="C9" t="inlineStr">
        <is>
          <t>$ per person</t>
        </is>
      </c>
    </row>
    <row r="10">
      <c r="A10" t="inlineStr">
        <is>
          <t>Wine Partner Contribution</t>
        </is>
      </c>
      <c r="B10" s="5" t="n">
        <v>350</v>
      </c>
      <c r="C10" t="inlineStr">
        <is>
          <t>$</t>
        </is>
      </c>
    </row>
    <row r="11">
      <c r="A11" t="inlineStr">
        <is>
          <t>Experience Sponsor</t>
        </is>
      </c>
      <c r="B11" s="5" t="n">
        <v>200</v>
      </c>
      <c r="C11" t="inlineStr">
        <is>
          <t>$</t>
        </is>
      </c>
    </row>
    <row r="12">
      <c r="A12" t="inlineStr">
        <is>
          <t>Total Partnerships</t>
        </is>
      </c>
      <c r="B12" s="18" t="n">
        <v>550</v>
      </c>
      <c r="C12" t="inlineStr">
        <is>
          <t>$</t>
        </is>
      </c>
    </row>
    <row r="14">
      <c r="A14" s="7" t="inlineStr">
        <is>
          <t>REVENUE ANALYSIS</t>
        </is>
      </c>
    </row>
    <row r="15">
      <c r="A15" t="inlineStr">
        <is>
          <t>Gross Ticket Sales</t>
        </is>
      </c>
      <c r="B15" s="18" t="n">
        <v>1740</v>
      </c>
      <c r="C15" t="inlineStr">
        <is>
          <t>$</t>
        </is>
      </c>
    </row>
    <row r="16">
      <c r="A16" t="inlineStr">
        <is>
          <t>Partnership Revenue</t>
        </is>
      </c>
      <c r="B16" s="18" t="n">
        <v>550</v>
      </c>
      <c r="C16" t="inlineStr">
        <is>
          <t>$</t>
        </is>
      </c>
    </row>
    <row r="17">
      <c r="A17" t="inlineStr">
        <is>
          <t>TOTAL REVENUE</t>
        </is>
      </c>
      <c r="B17" s="19" t="n">
        <v>2290</v>
      </c>
      <c r="C17" t="inlineStr">
        <is>
          <t>$</t>
        </is>
      </c>
    </row>
    <row r="19">
      <c r="A19" s="9" t="inlineStr">
        <is>
          <t>COST STRUCTURE ANALYSIS</t>
        </is>
      </c>
    </row>
    <row r="20">
      <c r="A20" s="10" t="inlineStr">
        <is>
          <t>Cost Category</t>
        </is>
      </c>
      <c r="B20" s="10" t="inlineStr">
        <is>
          <t>Per Person</t>
        </is>
      </c>
      <c r="C20" s="10" t="inlineStr">
        <is>
          <t>Total Cost</t>
        </is>
      </c>
      <c r="D20" s="10" t="inlineStr">
        <is>
          <t>% of Revenue</t>
        </is>
      </c>
    </row>
    <row r="21">
      <c r="A21" t="inlineStr">
        <is>
          <t>Historic Venue Rental</t>
        </is>
      </c>
      <c r="B21" s="5" t="n">
        <v>13</v>
      </c>
      <c r="C21" s="18" t="n">
        <v>390</v>
      </c>
      <c r="D21" s="20" t="n">
        <v>0.1703056768558952</v>
      </c>
    </row>
    <row r="22">
      <c r="A22" t="inlineStr">
        <is>
          <t>3-Course Catering</t>
        </is>
      </c>
      <c r="B22" s="5" t="n">
        <v>32</v>
      </c>
      <c r="C22" s="18" t="n">
        <v>960</v>
      </c>
      <c r="D22" s="20" t="n">
        <v>0.4192139737991266</v>
      </c>
    </row>
    <row r="23">
      <c r="A23" t="inlineStr">
        <is>
          <t>Wine Pairings &amp; Service</t>
        </is>
      </c>
      <c r="B23" s="5" t="n">
        <v>10</v>
      </c>
      <c r="C23" s="18" t="n">
        <v>300</v>
      </c>
      <c r="D23" s="20" t="n">
        <v>0.1310043668122271</v>
      </c>
    </row>
    <row r="24">
      <c r="A24" t="inlineStr">
        <is>
          <t>Photography &amp; Experience</t>
        </is>
      </c>
      <c r="B24" s="5" t="n">
        <v>10</v>
      </c>
      <c r="C24" s="18" t="n">
        <v>300</v>
      </c>
      <c r="D24" s="20" t="n">
        <v>0.1310043668122271</v>
      </c>
    </row>
    <row r="25">
      <c r="A25" t="inlineStr">
        <is>
          <t>Operations &amp; Marketing</t>
        </is>
      </c>
      <c r="B25" s="5" t="n">
        <v>7</v>
      </c>
      <c r="C25" s="18" t="n">
        <v>210</v>
      </c>
      <c r="D25" s="20" t="n">
        <v>0.09170305676855896</v>
      </c>
    </row>
    <row r="26">
      <c r="A26" s="12" t="inlineStr">
        <is>
          <t>TOTAL OPERATING COSTS</t>
        </is>
      </c>
      <c r="B26" s="12">
        <f>SUM(B21:B25)</f>
        <v/>
      </c>
      <c r="C26" s="19">
        <f>SUM(C21:C25)</f>
        <v/>
      </c>
      <c r="D26" s="21">
        <f>C26/$B$17</f>
        <v/>
      </c>
    </row>
    <row r="28">
      <c r="A28" s="14" t="inlineStr">
        <is>
          <t>BUDGET COMPLIANCE CHECK</t>
        </is>
      </c>
    </row>
    <row r="29">
      <c r="A29" t="inlineStr">
        <is>
          <t>Actual Cost Per Person</t>
        </is>
      </c>
      <c r="B29">
        <f>C26/B7</f>
        <v/>
      </c>
      <c r="C29" t="inlineStr">
        <is>
          <t>$ per person</t>
        </is>
      </c>
    </row>
    <row r="30">
      <c r="A30" t="inlineStr">
        <is>
          <t>Budget Limit</t>
        </is>
      </c>
      <c r="B30">
        <f>B9</f>
        <v/>
      </c>
      <c r="C30" t="inlineStr">
        <is>
          <t>$ per person</t>
        </is>
      </c>
    </row>
    <row r="31">
      <c r="A31" t="inlineStr">
        <is>
          <t>Budget Status</t>
        </is>
      </c>
      <c r="B31" s="15">
        <f>IF(B29&lt;=B30,"✓ COMPLIANT","⚠️ OVER BUDGET")</f>
        <v/>
      </c>
    </row>
    <row r="32">
      <c r="A32" t="inlineStr">
        <is>
          <t>Budget Headroom</t>
        </is>
      </c>
      <c r="B32">
        <f>B30-B29</f>
        <v/>
      </c>
      <c r="C32" t="inlineStr">
        <is>
          <t>$ per person</t>
        </is>
      </c>
    </row>
    <row r="34">
      <c r="A34" s="16" t="inlineStr">
        <is>
          <t>PROFITABILITY ANALYSIS</t>
        </is>
      </c>
    </row>
    <row r="35">
      <c r="A35" t="inlineStr">
        <is>
          <t>Gross Profit</t>
        </is>
      </c>
      <c r="B35" s="22">
        <f>B17-C26</f>
        <v/>
      </c>
      <c r="C35" t="inlineStr">
        <is>
          <t>$</t>
        </is>
      </c>
    </row>
    <row r="36">
      <c r="A36" t="inlineStr">
        <is>
          <t>Profit Margin</t>
        </is>
      </c>
      <c r="B36" s="20">
        <f>B35/B17</f>
        <v/>
      </c>
      <c r="C36" t="inlineStr">
        <is>
          <t>%</t>
        </is>
      </c>
    </row>
    <row r="37">
      <c r="A37" t="inlineStr">
        <is>
          <t>Profit Per Person</t>
        </is>
      </c>
      <c r="B37">
        <f>B35/B7</f>
        <v/>
      </c>
      <c r="C37" t="inlineStr">
        <is>
          <t>$ per person</t>
        </is>
      </c>
    </row>
  </sheetData>
  <mergeCells count="8">
    <mergeCell ref="A4:H4"/>
    <mergeCell ref="A3:H3"/>
    <mergeCell ref="A34:D34"/>
    <mergeCell ref="A6:C6"/>
    <mergeCell ref="A19:E19"/>
    <mergeCell ref="A1:H2"/>
    <mergeCell ref="A28:D2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2026-02-03T08:02:56Z</dcterms:created>
  <dcterms:modified xsi:type="dcterms:W3CDTF">2026-02-03T19:51:45Z</dcterms:modified>
</cp:coreProperties>
</file>